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ay Singh\Documents\"/>
    </mc:Choice>
  </mc:AlternateContent>
  <xr:revisionPtr revIDLastSave="0" documentId="8_{20394B1A-FEF7-4DDD-BCD6-95C97E9E9B36}" xr6:coauthVersionLast="47" xr6:coauthVersionMax="47" xr10:uidLastSave="{00000000-0000-0000-0000-000000000000}"/>
  <bookViews>
    <workbookView xWindow="-108" yWindow="-108" windowWidth="23256" windowHeight="12456" activeTab="1" xr2:uid="{95870EB6-E315-4740-B3A3-D3C6AE5DEAA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G8" i="2"/>
  <c r="G7" i="2"/>
  <c r="G6" i="2"/>
  <c r="G5" i="2"/>
  <c r="G4" i="2"/>
  <c r="G3" i="2"/>
  <c r="G2" i="2"/>
  <c r="E21" i="2"/>
  <c r="E20" i="2"/>
  <c r="E19" i="2"/>
  <c r="E18" i="2"/>
  <c r="E17" i="2"/>
  <c r="G11" i="1"/>
  <c r="G10" i="1"/>
  <c r="G9" i="1"/>
  <c r="G8" i="1"/>
  <c r="G7" i="1"/>
  <c r="G6" i="1"/>
  <c r="G5" i="1"/>
  <c r="G4" i="1"/>
  <c r="G3" i="1"/>
  <c r="G2" i="1"/>
  <c r="D23" i="1"/>
  <c r="D22" i="1"/>
  <c r="D21" i="1"/>
  <c r="D20" i="1"/>
  <c r="D19" i="1"/>
</calcChain>
</file>

<file path=xl/sharedStrings.xml><?xml version="1.0" encoding="utf-8"?>
<sst xmlns="http://schemas.openxmlformats.org/spreadsheetml/2006/main" count="62" uniqueCount="42">
  <si>
    <t>Abhay</t>
  </si>
  <si>
    <t>Sanjay</t>
  </si>
  <si>
    <t>Student ID</t>
  </si>
  <si>
    <t>Student Name</t>
  </si>
  <si>
    <t>Course</t>
  </si>
  <si>
    <t>Fees</t>
  </si>
  <si>
    <t>Discount %</t>
  </si>
  <si>
    <t>Neetu</t>
  </si>
  <si>
    <t>Data Analytics</t>
  </si>
  <si>
    <t>Rahul</t>
  </si>
  <si>
    <t>Python</t>
  </si>
  <si>
    <t>Priya</t>
  </si>
  <si>
    <t>Java</t>
  </si>
  <si>
    <t>Aman</t>
  </si>
  <si>
    <t>MERN</t>
  </si>
  <si>
    <t>Riya</t>
  </si>
  <si>
    <t>Mohit</t>
  </si>
  <si>
    <t>Sneha</t>
  </si>
  <si>
    <t>Arjun</t>
  </si>
  <si>
    <t>Pooja</t>
  </si>
  <si>
    <t>Vivek</t>
  </si>
  <si>
    <t>Date</t>
  </si>
  <si>
    <t>Sum</t>
  </si>
  <si>
    <t>Average</t>
  </si>
  <si>
    <t>count</t>
  </si>
  <si>
    <t>max</t>
  </si>
  <si>
    <t>Min</t>
  </si>
  <si>
    <t>After Discount</t>
  </si>
  <si>
    <t>Student Id</t>
  </si>
  <si>
    <t>Student</t>
  </si>
  <si>
    <t>Abhishek</t>
  </si>
  <si>
    <t>Adarsh</t>
  </si>
  <si>
    <t>Utsav</t>
  </si>
  <si>
    <t>Sudhansu</t>
  </si>
  <si>
    <t>Nikhil</t>
  </si>
  <si>
    <t>Virat</t>
  </si>
  <si>
    <t>Rohit</t>
  </si>
  <si>
    <t>Mern</t>
  </si>
  <si>
    <t>Discount</t>
  </si>
  <si>
    <t>Avg</t>
  </si>
  <si>
    <t>Count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</si>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</sst>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12">
    <xf numFmtId="0" fontId="0" fillId="0" borderId="0" xfId="0"/>
    <xf numFmtId="0" fontId="3" fillId="3" borderId="0" xfId="0" applyFont="1" applyFill="1"/>
    <xf numFmtId="0" fontId="0" fillId="4" borderId="0" xfId="0" applyFill="1"/>
    <xf numFmtId="0" fontId="0" fillId="5" borderId="0" xfId="0" applyFill="1"/>
    <xf numFmtId="0" fontId="2" fillId="2" borderId="2" xfId="2"/>
    <xf numFmtId="165" fontId="2" fillId="2" borderId="2" xfId="2" applyNumberFormat="1"/>
    <xf numFmtId="9" fontId="2" fillId="2" borderId="2" xfId="2" applyNumberFormat="1"/>
    <xf numFmtId="14" fontId="2" fillId="2" borderId="2" xfId="2" applyNumberFormat="1"/>
    <xf numFmtId="0" fontId="2" fillId="3" borderId="2" xfId="2" applyFill="1"/>
    <xf numFmtId="165" fontId="2" fillId="3" borderId="2" xfId="2" applyNumberFormat="1" applyFill="1"/>
    <xf numFmtId="0" fontId="1" fillId="0" borderId="1" xfId="1"/>
    <xf numFmtId="0" fontId="2" fillId="2" borderId="2" xfId="2" applyAlignment="1">
      <alignment horizontal="center"/>
    </xf>
  </cellXfs>
  <cellStyles count="3">
    <cellStyle name="Heading 2" xfId="1" builtinId="17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B9EB-A09A-410E-AA91-C77CAB754C5A}">
  <dimension ref="A1:G23"/>
  <sheetViews>
    <sheetView workbookViewId="0">
      <selection activeCell="F16" sqref="F16"/>
    </sheetView>
  </sheetViews>
  <sheetFormatPr defaultRowHeight="14.4" x14ac:dyDescent="0.3"/>
  <cols>
    <col min="1" max="1" width="10.21875" customWidth="1"/>
    <col min="2" max="2" width="12.77734375" customWidth="1"/>
    <col min="4" max="4" width="10.44140625" bestFit="1" customWidth="1"/>
    <col min="5" max="5" width="10.33203125" customWidth="1"/>
    <col min="6" max="6" width="10.33203125" bestFit="1" customWidth="1"/>
    <col min="7" max="7" width="13.109375" customWidth="1"/>
  </cols>
  <sheetData>
    <row r="1" spans="1:7" s="1" customFormat="1" ht="31.2" customHeight="1" x14ac:dyDescent="0.3">
      <c r="A1" s="8" t="s">
        <v>2</v>
      </c>
      <c r="B1" s="8" t="s">
        <v>3</v>
      </c>
      <c r="C1" s="8" t="s">
        <v>4</v>
      </c>
      <c r="D1" s="9" t="s">
        <v>5</v>
      </c>
      <c r="E1" s="8" t="s">
        <v>6</v>
      </c>
      <c r="F1" s="8" t="s">
        <v>21</v>
      </c>
      <c r="G1" s="8" t="s">
        <v>27</v>
      </c>
    </row>
    <row r="2" spans="1:7" x14ac:dyDescent="0.3">
      <c r="A2" s="4">
        <v>101</v>
      </c>
      <c r="B2" s="4" t="s">
        <v>7</v>
      </c>
      <c r="C2" s="4" t="s">
        <v>8</v>
      </c>
      <c r="D2" s="5">
        <v>25000</v>
      </c>
      <c r="E2" s="6">
        <v>0.1</v>
      </c>
      <c r="F2" s="7">
        <v>45787</v>
      </c>
      <c r="G2" s="4">
        <f>25000*10/100</f>
        <v>2500</v>
      </c>
    </row>
    <row r="3" spans="1:7" x14ac:dyDescent="0.3">
      <c r="A3" s="4">
        <v>102</v>
      </c>
      <c r="B3" s="4" t="s">
        <v>9</v>
      </c>
      <c r="C3" s="4" t="s">
        <v>10</v>
      </c>
      <c r="D3" s="5">
        <v>22000</v>
      </c>
      <c r="E3" s="6">
        <v>0.1</v>
      </c>
      <c r="F3" s="7">
        <v>45788</v>
      </c>
      <c r="G3" s="4">
        <f>22000*10/100</f>
        <v>2200</v>
      </c>
    </row>
    <row r="4" spans="1:7" x14ac:dyDescent="0.3">
      <c r="A4" s="4">
        <v>103</v>
      </c>
      <c r="B4" s="4" t="s">
        <v>11</v>
      </c>
      <c r="C4" s="4" t="s">
        <v>12</v>
      </c>
      <c r="D4" s="5">
        <v>21000</v>
      </c>
      <c r="E4" s="6">
        <v>0.1</v>
      </c>
      <c r="F4" s="7">
        <v>45789</v>
      </c>
      <c r="G4" s="4">
        <f>21000*10/100</f>
        <v>2100</v>
      </c>
    </row>
    <row r="5" spans="1:7" x14ac:dyDescent="0.3">
      <c r="A5" s="4">
        <v>104</v>
      </c>
      <c r="B5" s="4" t="s">
        <v>13</v>
      </c>
      <c r="C5" s="4" t="s">
        <v>14</v>
      </c>
      <c r="D5" s="5">
        <v>28000</v>
      </c>
      <c r="E5" s="6">
        <v>0.1</v>
      </c>
      <c r="F5" s="7">
        <v>45790</v>
      </c>
      <c r="G5" s="4">
        <f>28000*10/100</f>
        <v>2800</v>
      </c>
    </row>
    <row r="6" spans="1:7" x14ac:dyDescent="0.3">
      <c r="A6" s="4">
        <v>105</v>
      </c>
      <c r="B6" s="4" t="s">
        <v>15</v>
      </c>
      <c r="C6" s="4" t="s">
        <v>8</v>
      </c>
      <c r="D6" s="5">
        <v>25000</v>
      </c>
      <c r="E6" s="6">
        <v>0.1</v>
      </c>
      <c r="F6" s="7">
        <v>45791</v>
      </c>
      <c r="G6" s="4">
        <f>25000*10/100</f>
        <v>2500</v>
      </c>
    </row>
    <row r="7" spans="1:7" x14ac:dyDescent="0.3">
      <c r="A7" s="4">
        <v>106</v>
      </c>
      <c r="B7" s="4" t="s">
        <v>16</v>
      </c>
      <c r="C7" s="4" t="s">
        <v>10</v>
      </c>
      <c r="D7" s="5">
        <v>24000</v>
      </c>
      <c r="E7" s="6">
        <v>0.1</v>
      </c>
      <c r="F7" s="7">
        <v>45792</v>
      </c>
      <c r="G7" s="4">
        <f>24000*10/100</f>
        <v>2400</v>
      </c>
    </row>
    <row r="8" spans="1:7" x14ac:dyDescent="0.3">
      <c r="A8" s="4">
        <v>107</v>
      </c>
      <c r="B8" s="4" t="s">
        <v>17</v>
      </c>
      <c r="C8" s="4" t="s">
        <v>12</v>
      </c>
      <c r="D8" s="5">
        <v>21500</v>
      </c>
      <c r="E8" s="6">
        <v>0.1</v>
      </c>
      <c r="F8" s="7">
        <v>45793</v>
      </c>
      <c r="G8" s="4">
        <f>21500*10/100</f>
        <v>2150</v>
      </c>
    </row>
    <row r="9" spans="1:7" x14ac:dyDescent="0.3">
      <c r="A9" s="4">
        <v>108</v>
      </c>
      <c r="B9" s="4" t="s">
        <v>18</v>
      </c>
      <c r="C9" s="4" t="s">
        <v>14</v>
      </c>
      <c r="D9" s="5">
        <v>30000</v>
      </c>
      <c r="E9" s="6">
        <v>0.1</v>
      </c>
      <c r="F9" s="7">
        <v>45794</v>
      </c>
      <c r="G9" s="4">
        <f>30000*10/100</f>
        <v>3000</v>
      </c>
    </row>
    <row r="10" spans="1:7" x14ac:dyDescent="0.3">
      <c r="A10" s="4">
        <v>109</v>
      </c>
      <c r="B10" s="4" t="s">
        <v>19</v>
      </c>
      <c r="C10" s="4" t="s">
        <v>8</v>
      </c>
      <c r="D10" s="5">
        <v>26000</v>
      </c>
      <c r="E10" s="6">
        <v>0.1</v>
      </c>
      <c r="F10" s="7">
        <v>45795</v>
      </c>
      <c r="G10" s="4">
        <f>26000*10/100</f>
        <v>2600</v>
      </c>
    </row>
    <row r="11" spans="1:7" x14ac:dyDescent="0.3">
      <c r="A11" s="4">
        <v>110</v>
      </c>
      <c r="B11" s="4" t="s">
        <v>20</v>
      </c>
      <c r="C11" s="4" t="s">
        <v>10</v>
      </c>
      <c r="D11" s="5">
        <v>23000</v>
      </c>
      <c r="E11" s="6">
        <v>0.1</v>
      </c>
      <c r="F11" s="7">
        <v>45796</v>
      </c>
      <c r="G11" s="4">
        <f>23000*10/100</f>
        <v>2300</v>
      </c>
    </row>
    <row r="19" spans="3:4" x14ac:dyDescent="0.3">
      <c r="C19" s="2" t="s">
        <v>22</v>
      </c>
      <c r="D19" s="3">
        <f>SUM(D2:D11)</f>
        <v>245500</v>
      </c>
    </row>
    <row r="20" spans="3:4" x14ac:dyDescent="0.3">
      <c r="C20" s="2" t="s">
        <v>23</v>
      </c>
      <c r="D20" s="3">
        <f>AVERAGE(D2:D11)</f>
        <v>24550</v>
      </c>
    </row>
    <row r="21" spans="3:4" x14ac:dyDescent="0.3">
      <c r="C21" s="2" t="s">
        <v>24</v>
      </c>
      <c r="D21" s="3">
        <f>COUNT(D2:D11)</f>
        <v>10</v>
      </c>
    </row>
    <row r="22" spans="3:4" x14ac:dyDescent="0.3">
      <c r="C22" s="2" t="s">
        <v>25</v>
      </c>
      <c r="D22" s="3">
        <f>MAX(D2:D11)</f>
        <v>30000</v>
      </c>
    </row>
    <row r="23" spans="3:4" x14ac:dyDescent="0.3">
      <c r="C23" s="2" t="s">
        <v>26</v>
      </c>
      <c r="D23" s="3">
        <f>MIN(D2:D11)</f>
        <v>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3A14F-51DD-4BFB-A263-87993BCFA799}">
  <dimension ref="A1:G21"/>
  <sheetViews>
    <sheetView tabSelected="1" workbookViewId="0">
      <selection activeCell="M12" sqref="M12"/>
    </sheetView>
  </sheetViews>
  <sheetFormatPr defaultRowHeight="14.4" x14ac:dyDescent="0.3"/>
  <cols>
    <col min="1" max="1" width="15.6640625" customWidth="1"/>
    <col min="2" max="2" width="15.5546875" customWidth="1"/>
    <col min="3" max="3" width="13.77734375" customWidth="1"/>
    <col min="5" max="5" width="10.33203125" bestFit="1" customWidth="1"/>
    <col min="7" max="7" width="17.109375" customWidth="1"/>
  </cols>
  <sheetData>
    <row r="1" spans="1:7" ht="18" thickBot="1" x14ac:dyDescent="0.4">
      <c r="A1" s="10" t="s">
        <v>28</v>
      </c>
      <c r="B1" s="10" t="s">
        <v>29</v>
      </c>
      <c r="C1" s="10" t="s">
        <v>4</v>
      </c>
      <c r="D1" s="10" t="s">
        <v>5</v>
      </c>
      <c r="E1" s="10" t="s">
        <v>21</v>
      </c>
      <c r="F1" s="10" t="s">
        <v>38</v>
      </c>
      <c r="G1" s="10" t="s">
        <v>27</v>
      </c>
    </row>
    <row r="2" spans="1:7" ht="15" thickTop="1" x14ac:dyDescent="0.3">
      <c r="A2" s="11">
        <v>101</v>
      </c>
      <c r="B2" s="4" t="s">
        <v>0</v>
      </c>
      <c r="C2" s="4" t="s">
        <v>8</v>
      </c>
      <c r="D2" s="4">
        <v>25000</v>
      </c>
      <c r="E2" s="4">
        <v>45802</v>
      </c>
      <c r="F2" s="6">
        <v>0.1</v>
      </c>
      <c r="G2" s="4">
        <f>25000*10/100</f>
        <v>2500</v>
      </c>
    </row>
    <row r="3" spans="1:7" x14ac:dyDescent="0.3">
      <c r="A3" s="11">
        <v>102</v>
      </c>
      <c r="B3" s="4" t="s">
        <v>1</v>
      </c>
      <c r="C3" s="4" t="s">
        <v>10</v>
      </c>
      <c r="D3" s="4">
        <v>23000</v>
      </c>
      <c r="E3" s="4">
        <v>45803</v>
      </c>
      <c r="F3" s="6">
        <v>0.15</v>
      </c>
      <c r="G3" s="4">
        <f>23000*15/100</f>
        <v>3450</v>
      </c>
    </row>
    <row r="4" spans="1:7" x14ac:dyDescent="0.3">
      <c r="A4" s="11">
        <v>103</v>
      </c>
      <c r="B4" s="4" t="s">
        <v>30</v>
      </c>
      <c r="C4" s="4" t="s">
        <v>12</v>
      </c>
      <c r="D4" s="4">
        <v>21000</v>
      </c>
      <c r="E4" s="4">
        <v>45804</v>
      </c>
      <c r="F4" s="6">
        <v>0.2</v>
      </c>
      <c r="G4" s="4">
        <f>21000*20/100</f>
        <v>4200</v>
      </c>
    </row>
    <row r="5" spans="1:7" x14ac:dyDescent="0.3">
      <c r="A5" s="11">
        <v>104</v>
      </c>
      <c r="B5" s="4" t="s">
        <v>31</v>
      </c>
      <c r="C5" s="4" t="s">
        <v>37</v>
      </c>
      <c r="D5" s="4">
        <v>12000</v>
      </c>
      <c r="E5" s="4">
        <v>45805</v>
      </c>
      <c r="F5" s="6">
        <v>0.25</v>
      </c>
      <c r="G5" s="4">
        <f>12000*25/100</f>
        <v>3000</v>
      </c>
    </row>
    <row r="6" spans="1:7" x14ac:dyDescent="0.3">
      <c r="A6" s="11">
        <v>105</v>
      </c>
      <c r="B6" s="4" t="s">
        <v>32</v>
      </c>
      <c r="C6" s="4" t="s">
        <v>8</v>
      </c>
      <c r="D6" s="4">
        <v>18000</v>
      </c>
      <c r="E6" s="4">
        <v>45806</v>
      </c>
      <c r="F6" s="6">
        <v>0.3</v>
      </c>
      <c r="G6" s="4">
        <f>18000*30/100</f>
        <v>5400</v>
      </c>
    </row>
    <row r="7" spans="1:7" x14ac:dyDescent="0.3">
      <c r="A7" s="11">
        <v>106</v>
      </c>
      <c r="B7" s="4" t="s">
        <v>33</v>
      </c>
      <c r="C7" s="4" t="s">
        <v>12</v>
      </c>
      <c r="D7" s="4">
        <v>19000</v>
      </c>
      <c r="E7" s="4">
        <v>45807</v>
      </c>
      <c r="F7" s="6">
        <v>0.35</v>
      </c>
      <c r="G7" s="4">
        <f>19000*35/100</f>
        <v>6650</v>
      </c>
    </row>
    <row r="8" spans="1:7" x14ac:dyDescent="0.3">
      <c r="A8" s="11">
        <v>107</v>
      </c>
      <c r="B8" s="4" t="s">
        <v>34</v>
      </c>
      <c r="C8" s="4" t="s">
        <v>37</v>
      </c>
      <c r="D8" s="4">
        <v>20000</v>
      </c>
      <c r="E8" s="4">
        <v>45808</v>
      </c>
      <c r="F8" s="6">
        <v>0.4</v>
      </c>
      <c r="G8" s="4">
        <f>20000*40/100</f>
        <v>8000</v>
      </c>
    </row>
    <row r="9" spans="1:7" x14ac:dyDescent="0.3">
      <c r="A9" s="11">
        <v>108</v>
      </c>
      <c r="B9" s="4" t="s">
        <v>35</v>
      </c>
      <c r="C9" s="4" t="s">
        <v>8</v>
      </c>
      <c r="D9" s="4">
        <v>24000</v>
      </c>
      <c r="E9" s="4">
        <v>45809</v>
      </c>
      <c r="F9" s="6">
        <v>0.45</v>
      </c>
      <c r="G9" s="4">
        <f>24000*45/100</f>
        <v>10800</v>
      </c>
    </row>
    <row r="10" spans="1:7" x14ac:dyDescent="0.3">
      <c r="A10" s="11">
        <v>109</v>
      </c>
      <c r="B10" s="4" t="s">
        <v>36</v>
      </c>
      <c r="C10" s="4" t="s">
        <v>10</v>
      </c>
      <c r="D10" s="4">
        <v>26000</v>
      </c>
      <c r="E10" s="4">
        <v>45810</v>
      </c>
      <c r="F10" s="6">
        <v>0.5</v>
      </c>
      <c r="G10" s="4">
        <f>26000*50/100</f>
        <v>13000</v>
      </c>
    </row>
    <row r="17" spans="4:5" x14ac:dyDescent="0.3">
      <c r="D17" s="2" t="s">
        <v>22</v>
      </c>
      <c r="E17" s="3">
        <f>SUM(D2:D10)</f>
        <v>188000</v>
      </c>
    </row>
    <row r="18" spans="4:5" x14ac:dyDescent="0.3">
      <c r="D18" s="2" t="s">
        <v>39</v>
      </c>
      <c r="E18" s="3">
        <f>AVERAGE(D2:D10)</f>
        <v>20888.888888888891</v>
      </c>
    </row>
    <row r="19" spans="4:5" x14ac:dyDescent="0.3">
      <c r="D19" s="2" t="s">
        <v>40</v>
      </c>
      <c r="E19" s="3">
        <f>COUNT(D2:D10)</f>
        <v>9</v>
      </c>
    </row>
    <row r="20" spans="4:5" x14ac:dyDescent="0.3">
      <c r="D20" s="2" t="s">
        <v>41</v>
      </c>
      <c r="E20" s="3">
        <f>MAX(D2:D10)</f>
        <v>26000</v>
      </c>
    </row>
    <row r="21" spans="4:5" x14ac:dyDescent="0.3">
      <c r="D21" s="2" t="s">
        <v>26</v>
      </c>
      <c r="E21" s="3">
        <f>MIN(D2:D10)</f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dcterms:created xsi:type="dcterms:W3CDTF">2026-06-26T10:30:44Z</dcterms:created>
  <dcterms:modified xsi:type="dcterms:W3CDTF">2026-06-26T12:21:12Z</dcterms:modified>
</cp:coreProperties>
</file>